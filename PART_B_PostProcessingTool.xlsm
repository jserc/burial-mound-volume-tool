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\burial-mound-volume-tool\"/>
    </mc:Choice>
  </mc:AlternateContent>
  <xr:revisionPtr revIDLastSave="0" documentId="13_ncr:1_{A9FB317C-77CF-4490-BB34-9FEF3D7CE657}" xr6:coauthVersionLast="36" xr6:coauthVersionMax="36" xr10:uidLastSave="{00000000-0000-0000-0000-000000000000}"/>
  <bookViews>
    <workbookView xWindow="0" yWindow="0" windowWidth="7695" windowHeight="2280" xr2:uid="{00000000-000D-0000-FFFF-FFFF00000000}"/>
  </bookViews>
  <sheets>
    <sheet name="Instructions" sheetId="7" r:id="rId1"/>
    <sheet name="Data Summary" sheetId="14" r:id="rId2"/>
    <sheet name="Check Results" sheetId="23" r:id="rId3"/>
    <sheet name="8204" sheetId="41" r:id="rId4"/>
    <sheet name="3184" sheetId="40" r:id="rId5"/>
    <sheet name="3152" sheetId="39" r:id="rId6"/>
  </sheets>
  <definedNames>
    <definedName name="_3152" localSheetId="5">'3152'!$A$1:$B$25</definedName>
    <definedName name="_3184" localSheetId="4">'3184'!$A$1:$B$25</definedName>
    <definedName name="_8204" localSheetId="3">'8204'!$A$1:$B$25</definedName>
  </definedNames>
  <calcPr calcId="179021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14" l="1"/>
  <c r="B5" i="14"/>
  <c r="B4" i="14"/>
  <c r="B3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BE6458-2505-4CF4-80F7-8C76FD7A2470}" name="3152" type="6" refreshedVersion="6" background="1" saveData="1">
    <textPr prompt="0" codePage="850" sourceFile="D:\GIT\burial-mound-volume-tool\Output_CSV_Tables\3152.csv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92497D7A-A455-49FA-A7A3-3FF9E179FCE9}" name="3184" type="6" refreshedVersion="6" background="1" saveData="1">
    <textPr prompt="0" codePage="850" sourceFile="D:\GIT\burial-mound-volume-tool\Output_CSV_Tables\3184.csv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69D6804E-59AB-4743-B252-E661DB292640}" name="8204" type="6" refreshedVersion="6" background="1" saveData="1">
    <textPr prompt="0" codePage="850" sourceFile="D:\GIT\burial-mound-volume-tool\Output_CSV_Tables\8204.csv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<sst xmlns="http://schemas.openxmlformats.org/spreadsheetml/2006/main" count="34" uniqueCount="32">
  <si>
    <t>Make sure that:</t>
  </si>
  <si>
    <t>The name does not contain : \ / ? * [ or ]</t>
  </si>
  <si>
    <t>No files with identical names</t>
  </si>
  <si>
    <t>The total file name does not exceed 31 characters (may need to map network drive location - expecially for long RORB or TUFLOW output names)</t>
  </si>
  <si>
    <t>Please enable macros in this workbook prior to running this tool.</t>
  </si>
  <si>
    <t>Burial Mound Volume Tool Part B - Postprocessing</t>
  </si>
  <si>
    <t>Steps:</t>
  </si>
  <si>
    <t>Step 1</t>
  </si>
  <si>
    <t>Run ProcessImagesTool.html (Part A of Tool) for each burial mound image and save all exported .CSV files in the Output_CSV_Tables folder</t>
  </si>
  <si>
    <t>Step 2</t>
  </si>
  <si>
    <t>Step 3</t>
  </si>
  <si>
    <t>Instructions</t>
  </si>
  <si>
    <t>Notes:</t>
  </si>
  <si>
    <t>Please name files using the unique mound identifier only eg. 8204.csv</t>
  </si>
  <si>
    <r>
      <t xml:space="preserve">Import all the exported .CSV tables into this spreadsheet using the </t>
    </r>
    <r>
      <rPr>
        <i/>
        <sz val="11"/>
        <color theme="1"/>
        <rFont val="Calibri"/>
        <family val="2"/>
        <scheme val="minor"/>
      </rPr>
      <t>Import Multiple CSV Input Files</t>
    </r>
    <r>
      <rPr>
        <sz val="11"/>
        <color theme="1"/>
        <rFont val="Calibri"/>
        <family val="2"/>
        <scheme val="minor"/>
      </rPr>
      <t xml:space="preserve"> macro:
</t>
    </r>
  </si>
  <si>
    <t xml:space="preserve">Reset Excel File Tool </t>
  </si>
  <si>
    <t>Version</t>
  </si>
  <si>
    <t>Details</t>
  </si>
  <si>
    <t>Date</t>
  </si>
  <si>
    <t>Notes</t>
  </si>
  <si>
    <t>Instructions:</t>
  </si>
  <si>
    <t>Other Useful Tools:</t>
  </si>
  <si>
    <t>Tool:</t>
  </si>
  <si>
    <t>Version Control:</t>
  </si>
  <si>
    <t>Joel Sercombe - Converted from original spreadsheet to include automated import with instruction sheet</t>
  </si>
  <si>
    <t>Identifier</t>
  </si>
  <si>
    <t>Data Summary</t>
  </si>
  <si>
    <t>The total file name cannot not exceed 31 characters (may need to map network drive location)
The name does not contain : \ / ? * [ or ]
No files with identical names (from different locations)</t>
  </si>
  <si>
    <t>Caution: Deletes all data. Does not fix up the spreadsheet layout if it is changed (will not fix Instructions, Data Summary or Check Results workheets if structure changed or deleted.</t>
  </si>
  <si>
    <t>Populate the Data Summary worksheet and the Check Results worksheet with the imported data:</t>
  </si>
  <si>
    <t>Deletes all imported .CSV file worksheets and clears Data Summary:</t>
  </si>
  <si>
    <t>Calculations for Trandline Polynomial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</si>
</sst>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4" fillId="0" borderId="1" xfId="0" applyFont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ont="1" applyBorder="1" applyAlignment="1">
      <alignment vertical="top"/>
    </xf>
    <xf numFmtId="0" fontId="0" fillId="0" borderId="0" xfId="0" applyBorder="1"/>
    <xf numFmtId="0" fontId="0" fillId="0" borderId="4" xfId="0" applyBorder="1" applyAlignment="1">
      <alignment vertical="top"/>
    </xf>
    <xf numFmtId="0" fontId="0" fillId="0" borderId="4" xfId="0" applyFont="1" applyBorder="1" applyAlignment="1">
      <alignment vertical="top"/>
    </xf>
    <xf numFmtId="0" fontId="0" fillId="0" borderId="5" xfId="0" applyBorder="1"/>
    <xf numFmtId="0" fontId="0" fillId="2" borderId="3" xfId="0" applyFont="1" applyFill="1" applyBorder="1"/>
    <xf numFmtId="0" fontId="4" fillId="0" borderId="1" xfId="0" applyFont="1" applyBorder="1" applyAlignment="1">
      <alignment vertical="top" wrapText="1"/>
    </xf>
    <xf numFmtId="0" fontId="0" fillId="2" borderId="0" xfId="0" applyFill="1"/>
    <xf numFmtId="16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2" borderId="3" xfId="0" applyFont="1" applyFill="1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6" xfId="0" applyFont="1" applyBorder="1" applyAlignment="1">
      <alignment vertical="top"/>
    </xf>
    <xf numFmtId="0" fontId="5" fillId="0" borderId="4" xfId="0" applyFont="1" applyBorder="1" applyAlignment="1">
      <alignment vertical="top"/>
    </xf>
    <xf numFmtId="0" fontId="6" fillId="0" borderId="0" xfId="0" applyFont="1"/>
    <xf numFmtId="0" fontId="4" fillId="0" borderId="0" xfId="0" applyFont="1" applyBorder="1" applyAlignment="1">
      <alignment vertical="top" wrapText="1"/>
    </xf>
    <xf numFmtId="0" fontId="0" fillId="0" borderId="0" xfId="0" applyFont="1" applyBorder="1"/>
    <xf numFmtId="0" fontId="3" fillId="0" borderId="1" xfId="0" applyFont="1" applyBorder="1" applyAlignment="1">
      <alignment vertical="top" wrapText="1" shrinkToFit="1"/>
    </xf>
    <xf numFmtId="0" fontId="3" fillId="0" borderId="1" xfId="0" applyFont="1" applyBorder="1" applyAlignment="1">
      <alignment vertical="top" wrapText="1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2809875</xdr:colOff>
          <xdr:row>6</xdr:row>
          <xdr:rowOff>276225</xdr:rowOff>
        </xdr:from>
        <xdr:to>
          <xdr:col>1</xdr:col>
          <xdr:colOff>4876800</xdr:colOff>
          <xdr:row>6</xdr:row>
          <xdr:rowOff>695325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Multiple CSV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2743200</xdr:colOff>
          <xdr:row>26</xdr:row>
          <xdr:rowOff>247650</xdr:rowOff>
        </xdr:from>
        <xdr:to>
          <xdr:col>1</xdr:col>
          <xdr:colOff>4943475</xdr:colOff>
          <xdr:row>26</xdr:row>
          <xdr:rowOff>676275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DF125B65-BD4E-47A4-83A8-1962EE83F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Excel File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(Caution: Deletes all data)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2695575</xdr:colOff>
          <xdr:row>7</xdr:row>
          <xdr:rowOff>190500</xdr:rowOff>
        </xdr:from>
        <xdr:to>
          <xdr:col>1</xdr:col>
          <xdr:colOff>5019675</xdr:colOff>
          <xdr:row>7</xdr:row>
          <xdr:rowOff>638175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F6E72A22-51A9-4530-A493-5332B6E2F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Summary and Check Results worksheets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8204" connectionId="3" xr16:uid="{7E93C26A-285C-4347-AE5D-22EC8DEAE75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184" connectionId="2" xr16:uid="{28076F9F-1558-4793-A112-FA7310F0F19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152" connectionId="1" xr16:uid="{B0A0ADAC-36A6-4C8A-B55A-14CC3E49E43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1"/>
  <sheetViews>
    <sheetView tabSelected="1" workbookViewId="0">
      <selection activeCell="B19" sqref="B19"/>
    </sheetView>
  </sheetViews>
  <sheetFormatPr defaultRowHeight="15" x14ac:dyDescent="0.25"/>
  <cols>
    <col min="1" max="1" width="26.7109375" customWidth="1"/>
    <col min="2" max="2" width="132.28515625" bestFit="1" customWidth="1"/>
    <col min="3" max="3" width="130.85546875" bestFit="1" customWidth="1"/>
  </cols>
  <sheetData>
    <row r="1" spans="1:4" x14ac:dyDescent="0.25">
      <c r="A1" s="1" t="s">
        <v>5</v>
      </c>
    </row>
    <row r="2" spans="1:4" x14ac:dyDescent="0.25">
      <c r="A2" s="2" t="s">
        <v>4</v>
      </c>
    </row>
    <row r="3" spans="1:4" x14ac:dyDescent="0.25">
      <c r="A3" s="2"/>
    </row>
    <row r="4" spans="1:4" ht="15.75" x14ac:dyDescent="0.25">
      <c r="A4" s="28" t="s">
        <v>20</v>
      </c>
    </row>
    <row r="5" spans="1:4" x14ac:dyDescent="0.25">
      <c r="A5" s="4" t="s">
        <v>6</v>
      </c>
      <c r="B5" s="4" t="s">
        <v>11</v>
      </c>
      <c r="C5" s="4" t="s">
        <v>12</v>
      </c>
    </row>
    <row r="6" spans="1:4" x14ac:dyDescent="0.25">
      <c r="A6" s="5" t="s">
        <v>7</v>
      </c>
      <c r="B6" s="6" t="s">
        <v>8</v>
      </c>
      <c r="C6" s="7" t="s">
        <v>13</v>
      </c>
    </row>
    <row r="7" spans="1:4" ht="60.75" customHeight="1" x14ac:dyDescent="0.25">
      <c r="A7" s="5" t="s">
        <v>9</v>
      </c>
      <c r="B7" s="8" t="s">
        <v>14</v>
      </c>
      <c r="C7" s="32" t="s">
        <v>27</v>
      </c>
    </row>
    <row r="8" spans="1:4" ht="56.25" customHeight="1" x14ac:dyDescent="0.25">
      <c r="A8" s="5" t="s">
        <v>10</v>
      </c>
      <c r="B8" s="6" t="s">
        <v>29</v>
      </c>
      <c r="C8" s="9"/>
      <c r="D8" s="2"/>
    </row>
    <row r="9" spans="1:4" x14ac:dyDescent="0.25">
      <c r="A9" s="5"/>
      <c r="B9" s="6"/>
      <c r="C9" s="9"/>
      <c r="D9" s="2"/>
    </row>
    <row r="10" spans="1:4" x14ac:dyDescent="0.25">
      <c r="A10" s="5" t="s">
        <v>10</v>
      </c>
      <c r="B10" s="6"/>
      <c r="C10" s="9"/>
    </row>
    <row r="11" spans="1:4" x14ac:dyDescent="0.25">
      <c r="A11" s="6"/>
      <c r="B11" s="6"/>
      <c r="C11" s="9"/>
    </row>
    <row r="12" spans="1:4" x14ac:dyDescent="0.25">
      <c r="A12" s="6" t="s">
        <v>0</v>
      </c>
      <c r="B12" s="6"/>
      <c r="C12" s="9"/>
    </row>
    <row r="13" spans="1:4" x14ac:dyDescent="0.25">
      <c r="A13" s="6"/>
      <c r="B13" s="6" t="s">
        <v>3</v>
      </c>
      <c r="C13" s="9"/>
    </row>
    <row r="14" spans="1:4" x14ac:dyDescent="0.25">
      <c r="A14" s="6"/>
      <c r="B14" s="6" t="s">
        <v>1</v>
      </c>
      <c r="C14" s="9"/>
    </row>
    <row r="15" spans="1:4" x14ac:dyDescent="0.25">
      <c r="A15" s="6"/>
      <c r="B15" s="6" t="s">
        <v>2</v>
      </c>
      <c r="C15" s="9"/>
    </row>
    <row r="16" spans="1:4" x14ac:dyDescent="0.25">
      <c r="A16" s="6"/>
      <c r="B16" s="6"/>
      <c r="C16" s="9"/>
    </row>
    <row r="17" spans="1:3" x14ac:dyDescent="0.25">
      <c r="A17" s="6"/>
      <c r="B17" s="6"/>
      <c r="C17" s="9"/>
    </row>
    <row r="18" spans="1:3" x14ac:dyDescent="0.25">
      <c r="A18" s="7"/>
      <c r="B18" s="6"/>
      <c r="C18" s="9"/>
    </row>
    <row r="19" spans="1:3" x14ac:dyDescent="0.25">
      <c r="A19" s="6"/>
      <c r="B19" s="6"/>
      <c r="C19" s="9"/>
    </row>
    <row r="20" spans="1:3" x14ac:dyDescent="0.25">
      <c r="A20" s="6"/>
      <c r="B20" s="6"/>
      <c r="C20" s="9"/>
    </row>
    <row r="21" spans="1:3" x14ac:dyDescent="0.25">
      <c r="A21" s="6"/>
      <c r="B21" s="6"/>
      <c r="C21" s="9"/>
    </row>
    <row r="22" spans="1:3" x14ac:dyDescent="0.25">
      <c r="A22" s="10"/>
      <c r="B22" s="10"/>
      <c r="C22" s="11"/>
    </row>
    <row r="23" spans="1:3" x14ac:dyDescent="0.25">
      <c r="A23" s="25"/>
      <c r="B23" s="25"/>
      <c r="C23" s="26"/>
    </row>
    <row r="24" spans="1:3" x14ac:dyDescent="0.25">
      <c r="A24" s="12"/>
      <c r="B24" s="12"/>
      <c r="C24" s="13"/>
    </row>
    <row r="25" spans="1:3" s="17" customFormat="1" ht="15.75" x14ac:dyDescent="0.25">
      <c r="A25" s="27" t="s">
        <v>21</v>
      </c>
      <c r="B25" s="15"/>
      <c r="C25" s="16"/>
    </row>
    <row r="26" spans="1:3" x14ac:dyDescent="0.25">
      <c r="A26" s="24" t="s">
        <v>22</v>
      </c>
      <c r="B26" s="18" t="s">
        <v>11</v>
      </c>
      <c r="C26" s="18" t="s">
        <v>19</v>
      </c>
    </row>
    <row r="27" spans="1:3" ht="65.25" customHeight="1" x14ac:dyDescent="0.25">
      <c r="A27" s="19" t="s">
        <v>15</v>
      </c>
      <c r="B27" s="6" t="s">
        <v>30</v>
      </c>
      <c r="C27" s="31" t="s">
        <v>28</v>
      </c>
    </row>
    <row r="28" spans="1:3" ht="17.25" customHeight="1" x14ac:dyDescent="0.25">
      <c r="A28" s="29"/>
      <c r="B28" s="14"/>
      <c r="C28" s="30"/>
    </row>
    <row r="29" spans="1:3" ht="15.75" x14ac:dyDescent="0.25">
      <c r="A29" s="27" t="s">
        <v>23</v>
      </c>
    </row>
    <row r="30" spans="1:3" x14ac:dyDescent="0.25">
      <c r="A30" s="4" t="s">
        <v>16</v>
      </c>
      <c r="B30" s="4" t="s">
        <v>17</v>
      </c>
      <c r="C30" s="4" t="s">
        <v>18</v>
      </c>
    </row>
    <row r="31" spans="1:3" x14ac:dyDescent="0.25">
      <c r="A31" s="21">
        <v>1</v>
      </c>
      <c r="B31" s="22" t="s">
        <v>24</v>
      </c>
      <c r="C31" s="23">
        <v>43356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MergeCSVs">
                <anchor moveWithCells="1" sizeWithCells="1">
                  <from>
                    <xdr:col>1</xdr:col>
                    <xdr:colOff>2809875</xdr:colOff>
                    <xdr:row>6</xdr:row>
                    <xdr:rowOff>276225</xdr:rowOff>
                  </from>
                  <to>
                    <xdr:col>1</xdr:col>
                    <xdr:colOff>4876800</xdr:colOff>
                    <xdr:row>6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eleteAllWorksheetsExceptKeyOnes">
                <anchor moveWithCells="1" sizeWithCells="1">
                  <from>
                    <xdr:col>1</xdr:col>
                    <xdr:colOff>2743200</xdr:colOff>
                    <xdr:row>26</xdr:row>
                    <xdr:rowOff>247650</xdr:rowOff>
                  </from>
                  <to>
                    <xdr:col>1</xdr:col>
                    <xdr:colOff>4943475</xdr:colOff>
                    <xdr:row>26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ListSheets">
                <anchor moveWithCells="1" sizeWithCells="1">
                  <from>
                    <xdr:col>1</xdr:col>
                    <xdr:colOff>2695575</xdr:colOff>
                    <xdr:row>7</xdr:row>
                    <xdr:rowOff>190500</xdr:rowOff>
                  </from>
                  <to>
                    <xdr:col>1</xdr:col>
                    <xdr:colOff>5019675</xdr:colOff>
                    <xdr:row>7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D14B0-0E99-4A37-8BC5-FA5865D2D043}">
  <sheetPr codeName="Sheet1"/>
  <dimension ref="A1:C5"/>
  <sheetViews>
    <sheetView workbookViewId="0">
      <selection activeCell="I11" sqref="I11"/>
    </sheetView>
  </sheetViews>
  <sheetFormatPr defaultRowHeight="15" x14ac:dyDescent="0.25"/>
  <cols>
    <col min="1" max="1" width="15.5703125" bestFit="1" customWidth="1"/>
    <col min="2" max="2" width="12.28515625" customWidth="1"/>
    <col min="3" max="3" width="12.42578125" customWidth="1"/>
  </cols>
  <sheetData>
    <row r="1" spans="1:3" ht="15.75" x14ac:dyDescent="0.25">
      <c r="A1" s="33" t="s">
        <v>26</v>
      </c>
      <c r="B1" t="s">
        <v>31</v>
      </c>
    </row>
    <row r="2" spans="1:3" s="3" customFormat="1" x14ac:dyDescent="0.25">
      <c r="A2" s="20" t="s">
        <v>25</v>
      </c>
    </row>
    <row r="3" spans="1:3" x14ac:dyDescent="0.25">
      <c r="A3">
        <v>8204</v>
      </c>
      <c r="B3">
        <f ca="1">INDIRECT("'"&amp;A3&amp;"'!A1")</f>
        <v>186</v>
      </c>
      <c r="C3">
        <f>'8204'!A1</f>
        <v>186</v>
      </c>
    </row>
    <row r="4" spans="1:3" x14ac:dyDescent="0.25">
      <c r="A4">
        <v>3184</v>
      </c>
      <c r="B4">
        <f t="shared" ref="B4:B5" ca="1" si="0">INDIRECT("'"&amp;A4&amp;"'!A1")</f>
        <v>2</v>
      </c>
    </row>
    <row r="5" spans="1:3" x14ac:dyDescent="0.25">
      <c r="A5">
        <v>3152</v>
      </c>
      <c r="B5">
        <f t="shared" ca="1" si="0"/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6C2FD-272F-4C82-A552-35869C5A9BC6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7182-6276-47F9-A01B-0AA90E9D2F5C}">
  <sheetPr codeName="Sheet25"/>
  <dimension ref="A1:B25"/>
  <sheetViews>
    <sheetView workbookViewId="0"/>
  </sheetViews>
  <sheetFormatPr defaultRowHeight="15" x14ac:dyDescent="0.25"/>
  <cols>
    <col min="1" max="1" width="12" bestFit="1" customWidth="1"/>
    <col min="2" max="2" width="12.7109375" bestFit="1" customWidth="1"/>
  </cols>
  <sheetData>
    <row r="1" spans="1:2" x14ac:dyDescent="0.25">
      <c r="A1">
        <v>186</v>
      </c>
      <c r="B1">
        <v>891</v>
      </c>
    </row>
    <row r="2" spans="1:2" x14ac:dyDescent="0.25">
      <c r="A2">
        <v>289</v>
      </c>
      <c r="B2">
        <v>856</v>
      </c>
    </row>
    <row r="3" spans="1:2" x14ac:dyDescent="0.25">
      <c r="A3">
        <v>383</v>
      </c>
      <c r="B3">
        <v>821</v>
      </c>
    </row>
    <row r="4" spans="1:2" x14ac:dyDescent="0.25">
      <c r="A4">
        <v>596</v>
      </c>
      <c r="B4">
        <v>775</v>
      </c>
    </row>
    <row r="5" spans="1:2" x14ac:dyDescent="0.25">
      <c r="A5">
        <v>18.84571429</v>
      </c>
      <c r="B5">
        <v>2.38</v>
      </c>
    </row>
    <row r="6" spans="1:2" x14ac:dyDescent="0.25">
      <c r="A6">
        <v>21.954285710000001</v>
      </c>
      <c r="B6">
        <v>-9.7142856999999999E-2</v>
      </c>
    </row>
    <row r="7" spans="1:2" x14ac:dyDescent="0.25">
      <c r="A7">
        <v>25.937142860000002</v>
      </c>
      <c r="B7">
        <v>3.6428571430000001</v>
      </c>
    </row>
    <row r="8" spans="1:2" x14ac:dyDescent="0.25">
      <c r="A8">
        <v>35.894285709999998</v>
      </c>
      <c r="B8">
        <v>1.845714286</v>
      </c>
    </row>
    <row r="9" spans="1:2" x14ac:dyDescent="0.25">
      <c r="A9">
        <v>36.962857139999997</v>
      </c>
      <c r="B9">
        <v>-2.04</v>
      </c>
    </row>
    <row r="10" spans="1:2" x14ac:dyDescent="0.25">
      <c r="A10">
        <v>40.265714289999998</v>
      </c>
      <c r="B10">
        <v>-2.7685714290000001</v>
      </c>
    </row>
    <row r="11" spans="1:2" x14ac:dyDescent="0.25">
      <c r="A11">
        <v>43.568571429999999</v>
      </c>
      <c r="B11">
        <v>-0.194285714</v>
      </c>
    </row>
    <row r="12" spans="1:2" x14ac:dyDescent="0.25">
      <c r="A12">
        <v>49.202857139999999</v>
      </c>
      <c r="B12">
        <v>-3.351428571</v>
      </c>
    </row>
    <row r="13" spans="1:2" x14ac:dyDescent="0.25">
      <c r="A13">
        <v>52.602857139999998</v>
      </c>
      <c r="B13">
        <v>-4.371428571</v>
      </c>
    </row>
    <row r="14" spans="1:2" x14ac:dyDescent="0.25">
      <c r="A14">
        <v>55.42</v>
      </c>
      <c r="B14">
        <v>-3.4485714289999998</v>
      </c>
    </row>
    <row r="15" spans="1:2" x14ac:dyDescent="0.25">
      <c r="A15">
        <v>60.277142859999998</v>
      </c>
      <c r="B15">
        <v>-7.625714286</v>
      </c>
    </row>
    <row r="16" spans="1:2" x14ac:dyDescent="0.25">
      <c r="A16">
        <v>61.054285710000002</v>
      </c>
      <c r="B16">
        <v>-3.1085714289999999</v>
      </c>
    </row>
    <row r="17" spans="1:2" x14ac:dyDescent="0.25">
      <c r="A17">
        <v>49.154285710000003</v>
      </c>
      <c r="B17">
        <v>2.914285714</v>
      </c>
    </row>
    <row r="18" spans="1:2" x14ac:dyDescent="0.25">
      <c r="A18">
        <v>33.125714289999998</v>
      </c>
      <c r="B18">
        <v>5.0999999999999996</v>
      </c>
    </row>
    <row r="19" spans="1:2" x14ac:dyDescent="0.25">
      <c r="A19">
        <v>28.122857140000001</v>
      </c>
      <c r="B19">
        <v>5.3428571429999998</v>
      </c>
    </row>
    <row r="20" spans="1:2" x14ac:dyDescent="0.25">
      <c r="A20">
        <v>15.737142860000001</v>
      </c>
      <c r="B20">
        <v>5.2457142860000001</v>
      </c>
    </row>
    <row r="21" spans="1:2" x14ac:dyDescent="0.25">
      <c r="A21">
        <v>11.462857140000001</v>
      </c>
      <c r="B21">
        <v>3.6914285709999999</v>
      </c>
    </row>
    <row r="22" spans="1:2" x14ac:dyDescent="0.25">
      <c r="A22">
        <v>7.9657142859999999</v>
      </c>
      <c r="B22">
        <v>-4.8571428999999999E-2</v>
      </c>
    </row>
    <row r="23" spans="1:2" x14ac:dyDescent="0.25">
      <c r="A23">
        <v>5.7314285710000004</v>
      </c>
      <c r="B23">
        <v>-3.1085714289999999</v>
      </c>
    </row>
    <row r="24" spans="1:2" x14ac:dyDescent="0.25">
      <c r="A24">
        <v>3.6914285709999999</v>
      </c>
      <c r="B24">
        <v>-4.6142857140000002</v>
      </c>
    </row>
    <row r="25" spans="1:2" x14ac:dyDescent="0.25">
      <c r="A25">
        <v>2.7685714290000001</v>
      </c>
      <c r="B25">
        <v>-5.4885714290000003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2C9FD-F318-4CFA-BE68-563CC3953823}">
  <sheetPr codeName="Sheet24"/>
  <dimension ref="A1:B25"/>
  <sheetViews>
    <sheetView workbookViewId="0">
      <selection activeCell="F22" sqref="F22"/>
    </sheetView>
  </sheetViews>
  <sheetFormatPr defaultRowHeight="15" x14ac:dyDescent="0.25"/>
  <cols>
    <col min="1" max="1" width="12" bestFit="1" customWidth="1"/>
    <col min="2" max="2" width="12.7109375" bestFit="1" customWidth="1"/>
  </cols>
  <sheetData>
    <row r="1" spans="1:2" x14ac:dyDescent="0.25">
      <c r="A1">
        <v>2</v>
      </c>
      <c r="B1">
        <v>891</v>
      </c>
    </row>
    <row r="2" spans="1:2" x14ac:dyDescent="0.25">
      <c r="A2">
        <v>289</v>
      </c>
      <c r="B2">
        <v>856</v>
      </c>
    </row>
    <row r="3" spans="1:2" x14ac:dyDescent="0.25">
      <c r="A3">
        <v>383</v>
      </c>
      <c r="B3">
        <v>821</v>
      </c>
    </row>
    <row r="4" spans="1:2" x14ac:dyDescent="0.25">
      <c r="A4">
        <v>596</v>
      </c>
      <c r="B4">
        <v>775</v>
      </c>
    </row>
    <row r="5" spans="1:2" x14ac:dyDescent="0.25">
      <c r="A5">
        <v>18.84571429</v>
      </c>
      <c r="B5">
        <v>2.38</v>
      </c>
    </row>
    <row r="6" spans="1:2" x14ac:dyDescent="0.25">
      <c r="A6">
        <v>21.954285710000001</v>
      </c>
      <c r="B6">
        <v>-9.7142856999999999E-2</v>
      </c>
    </row>
    <row r="7" spans="1:2" x14ac:dyDescent="0.25">
      <c r="A7">
        <v>25.937142860000002</v>
      </c>
      <c r="B7">
        <v>3.6428571430000001</v>
      </c>
    </row>
    <row r="8" spans="1:2" x14ac:dyDescent="0.25">
      <c r="A8">
        <v>35.894285709999998</v>
      </c>
      <c r="B8">
        <v>1.845714286</v>
      </c>
    </row>
    <row r="9" spans="1:2" x14ac:dyDescent="0.25">
      <c r="A9">
        <v>36.962857139999997</v>
      </c>
      <c r="B9">
        <v>-2.04</v>
      </c>
    </row>
    <row r="10" spans="1:2" x14ac:dyDescent="0.25">
      <c r="A10">
        <v>40.265714289999998</v>
      </c>
      <c r="B10">
        <v>-2.7685714290000001</v>
      </c>
    </row>
    <row r="11" spans="1:2" x14ac:dyDescent="0.25">
      <c r="A11">
        <v>43.568571429999999</v>
      </c>
      <c r="B11">
        <v>-0.194285714</v>
      </c>
    </row>
    <row r="12" spans="1:2" x14ac:dyDescent="0.25">
      <c r="A12">
        <v>49.202857139999999</v>
      </c>
      <c r="B12">
        <v>-3.351428571</v>
      </c>
    </row>
    <row r="13" spans="1:2" x14ac:dyDescent="0.25">
      <c r="A13">
        <v>52.602857139999998</v>
      </c>
      <c r="B13">
        <v>-4.371428571</v>
      </c>
    </row>
    <row r="14" spans="1:2" x14ac:dyDescent="0.25">
      <c r="A14">
        <v>55.42</v>
      </c>
      <c r="B14">
        <v>-3.4485714289999998</v>
      </c>
    </row>
    <row r="15" spans="1:2" x14ac:dyDescent="0.25">
      <c r="A15">
        <v>60.277142859999998</v>
      </c>
      <c r="B15">
        <v>-7.625714286</v>
      </c>
    </row>
    <row r="16" spans="1:2" x14ac:dyDescent="0.25">
      <c r="A16">
        <v>61.054285710000002</v>
      </c>
      <c r="B16">
        <v>-3.1085714289999999</v>
      </c>
    </row>
    <row r="17" spans="1:2" x14ac:dyDescent="0.25">
      <c r="A17">
        <v>49.154285710000003</v>
      </c>
      <c r="B17">
        <v>2.914285714</v>
      </c>
    </row>
    <row r="18" spans="1:2" x14ac:dyDescent="0.25">
      <c r="A18">
        <v>33.125714289999998</v>
      </c>
      <c r="B18">
        <v>5.0999999999999996</v>
      </c>
    </row>
    <row r="19" spans="1:2" x14ac:dyDescent="0.25">
      <c r="A19">
        <v>28.122857140000001</v>
      </c>
      <c r="B19">
        <v>5.3428571429999998</v>
      </c>
    </row>
    <row r="20" spans="1:2" x14ac:dyDescent="0.25">
      <c r="A20">
        <v>15.737142860000001</v>
      </c>
      <c r="B20">
        <v>5.2457142860000001</v>
      </c>
    </row>
    <row r="21" spans="1:2" x14ac:dyDescent="0.25">
      <c r="A21">
        <v>11.462857140000001</v>
      </c>
      <c r="B21">
        <v>3.6914285709999999</v>
      </c>
    </row>
    <row r="22" spans="1:2" x14ac:dyDescent="0.25">
      <c r="A22">
        <v>7.9657142859999999</v>
      </c>
      <c r="B22">
        <v>-4.8571428999999999E-2</v>
      </c>
    </row>
    <row r="23" spans="1:2" x14ac:dyDescent="0.25">
      <c r="A23">
        <v>5.7314285710000004</v>
      </c>
      <c r="B23">
        <v>-3.1085714289999999</v>
      </c>
    </row>
    <row r="24" spans="1:2" x14ac:dyDescent="0.25">
      <c r="A24">
        <v>3.6914285709999999</v>
      </c>
      <c r="B24">
        <v>-4.6142857140000002</v>
      </c>
    </row>
    <row r="25" spans="1:2" x14ac:dyDescent="0.25">
      <c r="A25">
        <v>2.7685714290000001</v>
      </c>
      <c r="B25">
        <v>-5.4885714290000003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4FED-CCD9-4CD9-AD67-95D784B7C0F0}">
  <sheetPr codeName="Sheet23"/>
  <dimension ref="A1:B25"/>
  <sheetViews>
    <sheetView workbookViewId="0">
      <selection activeCell="G10" sqref="G10"/>
    </sheetView>
  </sheetViews>
  <sheetFormatPr defaultRowHeight="15" x14ac:dyDescent="0.25"/>
  <cols>
    <col min="1" max="1" width="12" bestFit="1" customWidth="1"/>
    <col min="2" max="2" width="12.7109375" bestFit="1" customWidth="1"/>
  </cols>
  <sheetData>
    <row r="1" spans="1:2" x14ac:dyDescent="0.25">
      <c r="A1">
        <v>4</v>
      </c>
      <c r="B1">
        <v>891</v>
      </c>
    </row>
    <row r="2" spans="1:2" x14ac:dyDescent="0.25">
      <c r="A2">
        <v>289</v>
      </c>
      <c r="B2">
        <v>856</v>
      </c>
    </row>
    <row r="3" spans="1:2" x14ac:dyDescent="0.25">
      <c r="A3">
        <v>383</v>
      </c>
      <c r="B3">
        <v>821</v>
      </c>
    </row>
    <row r="4" spans="1:2" x14ac:dyDescent="0.25">
      <c r="A4">
        <v>596</v>
      </c>
      <c r="B4">
        <v>775</v>
      </c>
    </row>
    <row r="5" spans="1:2" x14ac:dyDescent="0.25">
      <c r="A5">
        <v>18.84571429</v>
      </c>
      <c r="B5">
        <v>2.38</v>
      </c>
    </row>
    <row r="6" spans="1:2" x14ac:dyDescent="0.25">
      <c r="A6">
        <v>21.954285710000001</v>
      </c>
      <c r="B6">
        <v>-9.7142856999999999E-2</v>
      </c>
    </row>
    <row r="7" spans="1:2" x14ac:dyDescent="0.25">
      <c r="A7">
        <v>25.937142860000002</v>
      </c>
      <c r="B7">
        <v>3.6428571430000001</v>
      </c>
    </row>
    <row r="8" spans="1:2" x14ac:dyDescent="0.25">
      <c r="A8">
        <v>35.894285709999998</v>
      </c>
      <c r="B8">
        <v>1.845714286</v>
      </c>
    </row>
    <row r="9" spans="1:2" x14ac:dyDescent="0.25">
      <c r="A9">
        <v>36.962857139999997</v>
      </c>
      <c r="B9">
        <v>-2.04</v>
      </c>
    </row>
    <row r="10" spans="1:2" x14ac:dyDescent="0.25">
      <c r="A10">
        <v>40.265714289999998</v>
      </c>
      <c r="B10">
        <v>-2.7685714290000001</v>
      </c>
    </row>
    <row r="11" spans="1:2" x14ac:dyDescent="0.25">
      <c r="A11">
        <v>43.568571429999999</v>
      </c>
      <c r="B11">
        <v>-0.194285714</v>
      </c>
    </row>
    <row r="12" spans="1:2" x14ac:dyDescent="0.25">
      <c r="A12">
        <v>49.202857139999999</v>
      </c>
      <c r="B12">
        <v>-3.351428571</v>
      </c>
    </row>
    <row r="13" spans="1:2" x14ac:dyDescent="0.25">
      <c r="A13">
        <v>52.602857139999998</v>
      </c>
      <c r="B13">
        <v>-4.371428571</v>
      </c>
    </row>
    <row r="14" spans="1:2" x14ac:dyDescent="0.25">
      <c r="A14">
        <v>55.42</v>
      </c>
      <c r="B14">
        <v>-3.4485714289999998</v>
      </c>
    </row>
    <row r="15" spans="1:2" x14ac:dyDescent="0.25">
      <c r="A15">
        <v>60.277142859999998</v>
      </c>
      <c r="B15">
        <v>-7.625714286</v>
      </c>
    </row>
    <row r="16" spans="1:2" x14ac:dyDescent="0.25">
      <c r="A16">
        <v>61.054285710000002</v>
      </c>
      <c r="B16">
        <v>-3.1085714289999999</v>
      </c>
    </row>
    <row r="17" spans="1:2" x14ac:dyDescent="0.25">
      <c r="A17">
        <v>49.154285710000003</v>
      </c>
      <c r="B17">
        <v>2.914285714</v>
      </c>
    </row>
    <row r="18" spans="1:2" x14ac:dyDescent="0.25">
      <c r="A18">
        <v>33.125714289999998</v>
      </c>
      <c r="B18">
        <v>5.0999999999999996</v>
      </c>
    </row>
    <row r="19" spans="1:2" x14ac:dyDescent="0.25">
      <c r="A19">
        <v>28.122857140000001</v>
      </c>
      <c r="B19">
        <v>5.3428571429999998</v>
      </c>
    </row>
    <row r="20" spans="1:2" x14ac:dyDescent="0.25">
      <c r="A20">
        <v>15.737142860000001</v>
      </c>
      <c r="B20">
        <v>5.2457142860000001</v>
      </c>
    </row>
    <row r="21" spans="1:2" x14ac:dyDescent="0.25">
      <c r="A21">
        <v>11.462857140000001</v>
      </c>
      <c r="B21">
        <v>3.6914285709999999</v>
      </c>
    </row>
    <row r="22" spans="1:2" x14ac:dyDescent="0.25">
      <c r="A22">
        <v>7.9657142859999999</v>
      </c>
      <c r="B22">
        <v>-4.8571428999999999E-2</v>
      </c>
    </row>
    <row r="23" spans="1:2" x14ac:dyDescent="0.25">
      <c r="A23">
        <v>5.7314285710000004</v>
      </c>
      <c r="B23">
        <v>-3.1085714289999999</v>
      </c>
    </row>
    <row r="24" spans="1:2" x14ac:dyDescent="0.25">
      <c r="A24">
        <v>3.6914285709999999</v>
      </c>
      <c r="B24">
        <v>-4.6142857140000002</v>
      </c>
    </row>
    <row r="25" spans="1:2" x14ac:dyDescent="0.25">
      <c r="A25">
        <v>2.7685714290000001</v>
      </c>
      <c r="B25">
        <v>-5.4885714290000003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Instructions</vt:lpstr>
      <vt:lpstr>Data Summary</vt:lpstr>
      <vt:lpstr>Check Results</vt:lpstr>
      <vt:lpstr>8204</vt:lpstr>
      <vt:lpstr>3184</vt:lpstr>
      <vt:lpstr>3152</vt:lpstr>
      <vt:lpstr>'3152'!_3152</vt:lpstr>
      <vt:lpstr>'3184'!_3184</vt:lpstr>
      <vt:lpstr>'8204'!_8204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Sercombe, Joel</dc:creator>
  <cp:lastModifiedBy>Joel Sercombe</cp:lastModifiedBy>
  <dcterms:created xsi:type="dcterms:W3CDTF">2018-04-24T04:47:35Z</dcterms:created>
  <dcterms:modified xsi:type="dcterms:W3CDTF">2018-09-15T11:15:06Z</dcterms:modified>
</cp:coreProperties>
</file>